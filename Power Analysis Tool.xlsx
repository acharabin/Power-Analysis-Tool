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 Charabin\Downloads\"/>
    </mc:Choice>
  </mc:AlternateContent>
  <xr:revisionPtr revIDLastSave="0" documentId="13_ncr:1_{0DAA20DE-DB37-46B8-9C5F-60111D6C6800}" xr6:coauthVersionLast="47" xr6:coauthVersionMax="47" xr10:uidLastSave="{00000000-0000-0000-0000-000000000000}"/>
  <bookViews>
    <workbookView xWindow="-110" yWindow="-110" windowWidth="22780" windowHeight="14540" xr2:uid="{2B403101-23A2-4DA5-8CDA-D0FC1B30C087}"/>
  </bookViews>
  <sheets>
    <sheet name="Power Analysis Too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2" i="1" a="1"/>
  <c r="C22" i="1"/>
  <c r="C31" i="1"/>
  <c r="C21" i="1"/>
  <c r="C35" i="1" l="1"/>
  <c r="C34" i="1"/>
  <c r="C33" i="1"/>
  <c r="C32" i="1"/>
  <c r="C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<sst xmlns="http://schemas.openxmlformats.org/spreadsheetml/2006/main" count="30" uniqueCount="29">
  <si>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Params</t>
  </si>
  <si>
    <t>Minimum Detectable Effect (MDE)</t>
  </si>
  <si>
    <t>Proportion</t>
  </si>
  <si>
    <t>Power (1 - β)</t>
  </si>
  <si>
    <t>Confidence Level (1−α)</t>
  </si>
  <si>
    <t>Power Analysis</t>
  </si>
  <si>
    <t>s^2</t>
  </si>
  <si>
    <t>s</t>
  </si>
  <si>
    <t>n</t>
  </si>
  <si>
    <t>Rule of Thumb</t>
  </si>
  <si>
    <t>Mean</t>
  </si>
  <si>
    <t>Difference of Means</t>
  </si>
  <si>
    <t>Difference of Proportions</t>
  </si>
  <si>
    <t>Number of Analysis Units Required</t>
  </si>
  <si>
    <t>Shared Control</t>
  </si>
  <si>
    <t>Treatment Sample Share</t>
  </si>
  <si>
    <t>Standard Error @ MDE</t>
  </si>
  <si>
    <t>Test Design Alternatives</t>
  </si>
  <si>
    <t>Assumptions</t>
  </si>
  <si>
    <t>Assumption of one tailed test with alternative hypothesis y_treatment &gt; y_control. Results are equivalent to alternative hypothesis of y_treatment &lt; y_control i.e. treatment reducing a negative outcome.</t>
  </si>
  <si>
    <t>Test Type</t>
  </si>
  <si>
    <t>This will be the same as mean when the proportion is 0.5.</t>
  </si>
  <si>
    <t xml:space="preserve">Assumes standard population standard deviation. This test is only </t>
  </si>
  <si>
    <t>Proportion of outcomes (if applicable)</t>
  </si>
  <si>
    <t>Control</t>
  </si>
  <si>
    <t>Treatment</t>
  </si>
  <si>
    <t xml:space="preserve">Can use a normal dist / z statistics - sufficient sample size met in a randomized experiment. </t>
  </si>
  <si>
    <t>Assumes use of pooled sample standard deviation and equal sample share across control/treatment.</t>
  </si>
  <si>
    <t>Commentary: 0.84 z score of 80th percentile power (can visualize NULL dist. Getting pushed back by this amount) + 1.96 SE from mean of NULL (total of 2.8 SE) can be set equal to the MDE dedectable effect to calculate 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</si>
</sst>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C0D0E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3" fillId="0" borderId="2" xfId="0" applyFont="1" applyBorder="1"/>
    <xf numFmtId="0" fontId="0" fillId="0" borderId="2" xfId="0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3" fillId="0" borderId="0" xfId="0" applyFont="1"/>
    <xf numFmtId="0" fontId="0" fillId="0" borderId="9" xfId="0" applyBorder="1"/>
    <xf numFmtId="0" fontId="1" fillId="0" borderId="9" xfId="0" applyFont="1" applyBorder="1"/>
    <xf numFmtId="0" fontId="1" fillId="0" borderId="0" xfId="0" applyFont="1"/>
    <xf numFmtId="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3675-929E-40E8-9A8F-507909804924}">
  <dimension ref="B1:V39"/>
  <sheetViews>
    <sheetView showGridLines="0" tabSelected="1" workbookViewId="0">
      <selection activeCell="E28" sqref="E28"/>
    </sheetView>
  </sheetViews>
  <sheetFormatPr defaultRowHeight="15" customHeight="1" x14ac:dyDescent="0.35"/>
  <cols>
    <col min="1" max="1" width="4.1796875" customWidth="1"/>
    <col min="2" max="2" width="30.7265625" customWidth="1"/>
    <col min="3" max="3" width="22.7265625" customWidth="1"/>
  </cols>
  <sheetData>
    <row r="1" spans="2:22" ht="14.5" x14ac:dyDescent="0.35"/>
    <row r="2" spans="2:22" ht="14.5" x14ac:dyDescent="0.35">
      <c r="B2" s="5" t="s">
        <v>18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14.5" x14ac:dyDescent="0.35">
      <c r="B3" s="15"/>
    </row>
    <row r="4" spans="2:22" ht="14.5" x14ac:dyDescent="0.35">
      <c r="B4" t="s">
        <v>26</v>
      </c>
    </row>
    <row r="5" spans="2:22" ht="14.5" x14ac:dyDescent="0.35">
      <c r="B5" t="s">
        <v>27</v>
      </c>
    </row>
    <row r="6" spans="2:22" ht="14.5" x14ac:dyDescent="0.35">
      <c r="B6" t="s">
        <v>19</v>
      </c>
    </row>
    <row r="7" spans="2:22" ht="14.5" x14ac:dyDescent="0.35"/>
    <row r="8" spans="2:22" ht="14.5" x14ac:dyDescent="0.35">
      <c r="B8" s="5" t="s"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ht="14.5" x14ac:dyDescent="0.35"/>
    <row r="10" spans="2:22" ht="14.5" x14ac:dyDescent="0.35"/>
    <row r="11" spans="2:22" ht="14.5" x14ac:dyDescent="0.35">
      <c r="B11" t="s">
        <v>1</v>
      </c>
      <c r="C11" s="8">
        <v>0.05</v>
      </c>
    </row>
    <row r="12" spans="2:22" ht="14.5" hidden="1" customHeight="1" x14ac:dyDescent="0.35">
      <c r="B12" t="s">
        <v>14</v>
      </c>
      <c r="C12" s="8" t="b">
        <v>0</v>
      </c>
    </row>
    <row r="13" spans="2:22" ht="14.5" customHeight="1" x14ac:dyDescent="0.35">
      <c r="B13" t="s">
        <v>15</v>
      </c>
      <c r="C13" s="8">
        <v>0.5</v>
      </c>
    </row>
    <row r="14" spans="2:22" ht="14.5" customHeight="1" x14ac:dyDescent="0.35"/>
    <row r="15" spans="2:22" ht="14.5" x14ac:dyDescent="0.35">
      <c r="B15" t="s">
        <v>3</v>
      </c>
      <c r="C15" s="14">
        <v>0.8</v>
      </c>
    </row>
    <row r="16" spans="2:22" ht="14.5" x14ac:dyDescent="0.35">
      <c r="B16" s="4" t="s">
        <v>4</v>
      </c>
      <c r="C16" s="14">
        <v>0.95</v>
      </c>
    </row>
    <row r="17" spans="2:22" ht="14.5" x14ac:dyDescent="0.35"/>
    <row r="18" spans="2:22" ht="14.5" x14ac:dyDescent="0.35">
      <c r="B18" s="5" t="s">
        <v>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22" ht="14.5" x14ac:dyDescent="0.35"/>
    <row r="20" spans="2:22" ht="14.5" x14ac:dyDescent="0.35">
      <c r="B20" s="1" t="s">
        <v>6</v>
      </c>
      <c r="C20" s="17">
        <v>0.25</v>
      </c>
    </row>
    <row r="21" spans="2:22" ht="14.5" x14ac:dyDescent="0.35">
      <c r="B21" t="s">
        <v>7</v>
      </c>
      <c r="C21">
        <f>SQRT(C20)</f>
        <v>0.5</v>
      </c>
    </row>
    <row r="22" spans="2:22" ht="14.5" x14ac:dyDescent="0.35">
      <c r="B22" t="s">
        <v>16</v>
      </c>
      <c r="C22" s="3" cm="1">
        <f t="array" ref="C22">C11/IF(AND(C15=0.8,C16=0.95),2.8,NULL)</f>
        <v>1.785714285714286E-2</v>
      </c>
      <c r="D22" t="s">
        <v>28</v>
      </c>
    </row>
    <row r="23" spans="2:22" ht="14.5" x14ac:dyDescent="0.35">
      <c r="C23" s="3"/>
    </row>
    <row r="24" spans="2:22" ht="14.5" x14ac:dyDescent="0.35">
      <c r="B24" t="s">
        <v>23</v>
      </c>
      <c r="C24" s="3"/>
    </row>
    <row r="25" spans="2:22" ht="14.5" x14ac:dyDescent="0.35">
      <c r="B25" s="7" t="s">
        <v>24</v>
      </c>
      <c r="C25" s="16">
        <v>0.5</v>
      </c>
    </row>
    <row r="26" spans="2:22" ht="14.5" x14ac:dyDescent="0.35">
      <c r="B26" s="18" t="s">
        <v>25</v>
      </c>
      <c r="C26">
        <f>C25+C11</f>
        <v>0.55000000000000004</v>
      </c>
    </row>
    <row r="27" spans="2:22" ht="14.5" x14ac:dyDescent="0.35">
      <c r="C27" s="3"/>
    </row>
    <row r="28" spans="2:22" ht="14.5" x14ac:dyDescent="0.35">
      <c r="B28" t="s">
        <v>20</v>
      </c>
      <c r="C28" s="8" t="s">
        <v>11</v>
      </c>
    </row>
    <row r="30" spans="2:22" ht="14.5" x14ac:dyDescent="0.35">
      <c r="B30" s="9" t="s">
        <v>17</v>
      </c>
      <c r="C30" s="10" t="s">
        <v>8</v>
      </c>
    </row>
    <row r="31" spans="2:22" ht="14.5" x14ac:dyDescent="0.35">
      <c r="B31" s="11" t="s">
        <v>9</v>
      </c>
      <c r="C31" s="12">
        <f>16*C20/($C11^2)</f>
        <v>1599.9999999999998</v>
      </c>
    </row>
    <row r="32" spans="2:22" ht="14.5" hidden="1" x14ac:dyDescent="0.35">
      <c r="B32" s="11" t="s">
        <v>10</v>
      </c>
      <c r="C32" s="12">
        <f>(C21/$C22)^2</f>
        <v>783.99999999999977</v>
      </c>
      <c r="D32" t="s">
        <v>22</v>
      </c>
    </row>
    <row r="33" spans="2:4" ht="14.5" x14ac:dyDescent="0.35">
      <c r="B33" s="11" t="s">
        <v>11</v>
      </c>
      <c r="C33" s="12">
        <f>C20*2/$C22^2</f>
        <v>1567.9999999999995</v>
      </c>
    </row>
    <row r="34" spans="2:4" ht="14.5" hidden="1" x14ac:dyDescent="0.35">
      <c r="B34" s="11" t="s">
        <v>2</v>
      </c>
      <c r="C34" s="12" t="e">
        <f>(#REF!*(1-#REF!))/($C22^2)</f>
        <v>#REF!</v>
      </c>
      <c r="D34" t="s">
        <v>21</v>
      </c>
    </row>
    <row r="35" spans="2:4" ht="14.5" x14ac:dyDescent="0.35">
      <c r="B35" s="13" t="s">
        <v>12</v>
      </c>
      <c r="C35" s="19">
        <f>(C25*(1-C25))/$C22^2 +(C26*(1-C26))/$C22^2</f>
        <v>1560.1599999999994</v>
      </c>
    </row>
    <row r="36" spans="2:4" ht="14.5" x14ac:dyDescent="0.35"/>
    <row r="37" spans="2:4" ht="14.5" customHeight="1" x14ac:dyDescent="0.35">
      <c r="B37" t="s">
        <v>13</v>
      </c>
      <c r="C37" s="2">
        <f>ROUND(VLOOKUP($C$28,$B$31:$C$35,2,FALSE)/IF(C13 = 0.5, 1, 1 - ABS((C13 - 0.5)/0.5)),0)</f>
        <v>1568</v>
      </c>
    </row>
    <row r="38" spans="2:4" ht="14.5" x14ac:dyDescent="0.35"/>
    <row r="39" spans="2:4" ht="14.5" x14ac:dyDescent="0.35"/>
  </sheetData>
  <dataValidations count="5">
    <dataValidation type="list" allowBlank="1" showInputMessage="1" showErrorMessage="1" sqref="C28" xr:uid="{5EAC188B-CD1F-4A7D-BC06-7DF37A7B024F}">
      <formula1>"Rule of Thumb,Difference of Means,Difference of Proportions"</formula1>
    </dataValidation>
    <dataValidation type="list" allowBlank="1" showInputMessage="1" showErrorMessage="1" sqref="C15" xr:uid="{71B69884-27A1-4E6A-ACCA-428838ECFAF1}">
      <formula1>"0.8"</formula1>
    </dataValidation>
    <dataValidation type="list" allowBlank="1" showInputMessage="1" showErrorMessage="1" sqref="C16" xr:uid="{5E5C69F7-443E-4D5C-8EA6-CA51066A1978}">
      <formula1>"0.95"</formula1>
    </dataValidation>
    <dataValidation type="list" allowBlank="1" showInputMessage="1" showErrorMessage="1" sqref="C12" xr:uid="{D7C9B6CD-B70F-46C1-BF00-6295BF229182}">
      <formula1>"True, False"</formula1>
    </dataValidation>
    <dataValidation type="list" allowBlank="1" showInputMessage="1" showErrorMessage="1" sqref="C13" xr:uid="{D4FF9BAD-3712-4135-A182-78602C283673}">
      <formula1>"0.5"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Analysis Tool</vt:lpstr>
    </vt:vector>
  </TitlesOfParts>
  <Manager/>
  <Company>Greenstone Finacial Services Canada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Charabin</dc:creator>
  <cp:keywords/>
  <dc:description/>
  <cp:lastModifiedBy>Andrew Charabin</cp:lastModifiedBy>
  <cp:revision/>
  <dcterms:created xsi:type="dcterms:W3CDTF">2024-06-21T21:12:50Z</dcterms:created>
  <dcterms:modified xsi:type="dcterms:W3CDTF">2025-11-01T14:25:21Z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2024-06-22T12:44:48Z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1893c7c2-ca7b-444b-a59d-e3ac4f642c8b</vt:lpwstr>
  </property>
  <property fmtid="{D5CDD505-2E9C-101B-9397-08002B2CF9AE}" pid="7" name="MSIP_Label_defa4170-0d19-0005-0004-bc88714345d2_ActionId">
    <vt:lpwstr>8ad8d13b-a677-428b-9692-6d5d3877896a</vt:lpwstr>
  </property>
  <property fmtid="{D5CDD505-2E9C-101B-9397-08002B2CF9AE}" pid="8" name="MSIP_Label_defa4170-0d19-0005-0004-bc88714345d2_ContentBits">
    <vt:lpwstr>0</vt:lpwstr>
  </property>
</Properties>
</file>